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oaxvv\"/>
    </mc:Choice>
  </mc:AlternateContent>
  <xr:revisionPtr revIDLastSave="0" documentId="13_ncr:1_{DC34EC8D-89FA-45FF-9A6F-94A577A15EE1}" xr6:coauthVersionLast="45" xr6:coauthVersionMax="45" xr10:uidLastSave="{00000000-0000-0000-0000-000000000000}"/>
  <bookViews>
    <workbookView xWindow="206" yWindow="1488" windowWidth="25932" windowHeight="14703" activeTab="3" xr2:uid="{020D26F9-43E5-4D53-B063-90F22313DBB8}"/>
  </bookViews>
  <sheets>
    <sheet name="统计页" sheetId="3" r:id="rId1"/>
    <sheet name="技能数据" sheetId="8" r:id="rId2"/>
    <sheet name="模拟环境" sheetId="5" r:id="rId3"/>
    <sheet name="模拟结果" sheetId="6" r:id="rId4"/>
    <sheet name="后台" sheetId="7" state="hidden" r:id="rId5"/>
  </sheets>
  <functionGroups builtInGroupCount="19"/>
  <definedNames>
    <definedName name="APF技能">技能数据!$A$1:$A$31</definedName>
    <definedName name="pp潜力">技能数据!$A$30:$A$48</definedName>
    <definedName name="测试次数">后台!$E$22</definedName>
    <definedName name="岛主指令">后台!$B$20:$B$23</definedName>
    <definedName name="对方指令">后台!$C$20:$C$23</definedName>
    <definedName name="技能池">OFFSET(技能数据!$A:$A,,,COUNTA(技能数据!$A:$A))</definedName>
    <definedName name="技能库">技能数据!$A:$E</definedName>
    <definedName name="技能类型">OFFSET(技能数据!$J$1,,,COUNTA(技能数据!$J:$J))</definedName>
    <definedName name="技能数据">后台!$B$2:$P$13</definedName>
    <definedName name="卡池类型">OFFSET(#REF!,,,COUNTA(#REF!))</definedName>
    <definedName name="女孩">OFFSET(技能数据!$L$2,,,COUNTA(技能数据!$L:$L)-1)</definedName>
    <definedName name="女孩名字">模拟结果!$I$5:$L$5</definedName>
    <definedName name="女孩属性">后台!$B$15:$E$18</definedName>
    <definedName name="赛制">后台!$E$20</definedName>
    <definedName name="随机数据池">后台!$B$25:$J$27</definedName>
    <definedName name="统计区">统计页!$C:$D</definedName>
    <definedName name="应援板技能">OFFSET(技能数据!$A$1,,,COUNTA(技能数据!$A:$A))</definedName>
    <definedName name="总分">OFFSET(统计页!#REF!,,,COUNTA(统计页!$A:$A))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6" l="1"/>
  <c r="H3" i="6" s="1"/>
  <c r="H1" i="6"/>
  <c r="L5" i="6" l="1"/>
  <c r="K5" i="6"/>
  <c r="J5" i="6"/>
  <c r="I5" i="6"/>
  <c r="E20" i="7" l="1"/>
  <c r="B6" i="7" l="1"/>
  <c r="C6" i="7"/>
  <c r="D6" i="7"/>
  <c r="B3" i="7" l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E6" i="7"/>
  <c r="F6" i="7"/>
  <c r="G6" i="7"/>
  <c r="H6" i="7"/>
  <c r="I6" i="7"/>
  <c r="J6" i="7"/>
  <c r="K6" i="7"/>
  <c r="L6" i="7"/>
  <c r="M6" i="7"/>
  <c r="N6" i="7"/>
  <c r="O6" i="7"/>
  <c r="P6" i="7"/>
  <c r="B7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B9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B10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B12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B13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E22" i="7" l="1"/>
  <c r="C21" i="7"/>
  <c r="B22" i="7"/>
  <c r="C20" i="7"/>
  <c r="C22" i="7"/>
  <c r="C23" i="7"/>
  <c r="B23" i="7"/>
  <c r="B21" i="7" l="1"/>
  <c r="B20" i="7"/>
  <c r="C18" i="7"/>
  <c r="D18" i="7"/>
  <c r="E18" i="7"/>
  <c r="B18" i="7"/>
  <c r="C17" i="7"/>
  <c r="D17" i="7"/>
  <c r="E17" i="7"/>
  <c r="B17" i="7"/>
  <c r="C16" i="7"/>
  <c r="D16" i="7"/>
  <c r="E16" i="7"/>
  <c r="B16" i="7"/>
  <c r="C15" i="7"/>
  <c r="D15" i="7"/>
  <c r="E15" i="7"/>
  <c r="B15" i="7"/>
  <c r="N2" i="7" l="1"/>
  <c r="M2" i="7"/>
  <c r="F2" i="7"/>
  <c r="E2" i="7"/>
  <c r="J2" i="7"/>
  <c r="C2" i="7"/>
  <c r="H2" i="7"/>
  <c r="G2" i="7"/>
  <c r="D2" i="7"/>
  <c r="B11" i="7"/>
  <c r="P2" i="7"/>
  <c r="K2" i="7"/>
  <c r="B2" i="7"/>
  <c r="C11" i="7"/>
  <c r="K8" i="7"/>
  <c r="G11" i="7"/>
  <c r="B5" i="7"/>
  <c r="P8" i="7"/>
  <c r="M11" i="7"/>
  <c r="H5" i="7"/>
  <c r="K11" i="7"/>
  <c r="E8" i="7"/>
  <c r="G8" i="7"/>
  <c r="I5" i="7"/>
  <c r="F8" i="7"/>
  <c r="I8" i="7"/>
  <c r="O8" i="7"/>
  <c r="M5" i="7"/>
  <c r="L11" i="7"/>
  <c r="N11" i="7"/>
  <c r="H11" i="7"/>
  <c r="C8" i="7"/>
  <c r="E5" i="7"/>
  <c r="D5" i="7"/>
  <c r="J11" i="7"/>
  <c r="I11" i="7"/>
  <c r="F11" i="7"/>
  <c r="J5" i="7"/>
  <c r="M8" i="7"/>
  <c r="L8" i="7"/>
  <c r="H8" i="7"/>
  <c r="O5" i="7"/>
  <c r="D8" i="7"/>
  <c r="O11" i="7"/>
  <c r="P5" i="7"/>
  <c r="G5" i="7"/>
  <c r="F5" i="7"/>
  <c r="L2" i="7"/>
  <c r="B8" i="7"/>
  <c r="O2" i="7"/>
  <c r="E11" i="7"/>
  <c r="I2" i="7"/>
  <c r="L5" i="7"/>
  <c r="J8" i="7"/>
  <c r="K5" i="7"/>
  <c r="D11" i="7"/>
  <c r="N8" i="7"/>
  <c r="N5" i="7"/>
  <c r="P11" i="7"/>
  <c r="C5" i="7"/>
</calcChain>
</file>

<file path=xl/sharedStrings.xml><?xml version="1.0" encoding="utf-8"?>
<sst xmlns="http://schemas.openxmlformats.org/spreadsheetml/2006/main" count="234" uniqueCount="144">
  <si>
    <t>天使杀球</t>
    <phoneticPr fontId="1" type="noConversion"/>
  </si>
  <si>
    <t>妖精佯攻</t>
    <phoneticPr fontId="1" type="noConversion"/>
  </si>
  <si>
    <t>胜利</t>
    <phoneticPr fontId="1" type="noConversion"/>
  </si>
  <si>
    <t>假球</t>
    <phoneticPr fontId="1" type="noConversion"/>
  </si>
  <si>
    <t>打到另一人</t>
    <phoneticPr fontId="1" type="noConversion"/>
  </si>
  <si>
    <t>总分</t>
    <phoneticPr fontId="1" type="noConversion"/>
  </si>
  <si>
    <t>楚楚可怜的动作F</t>
  </si>
  <si>
    <t>闪耀技巧3PP</t>
  </si>
  <si>
    <t xml:space="preserve">闪耀技巧5PP	</t>
  </si>
  <si>
    <t>妖精佯攻</t>
  </si>
  <si>
    <t>搭档</t>
    <phoneticPr fontId="1" type="noConversion"/>
  </si>
  <si>
    <t>对手</t>
    <phoneticPr fontId="1" type="noConversion"/>
  </si>
  <si>
    <t>衣服技能</t>
    <phoneticPr fontId="1" type="noConversion"/>
  </si>
  <si>
    <t>首饰技能</t>
    <phoneticPr fontId="1" type="noConversion"/>
  </si>
  <si>
    <t>潜力</t>
    <phoneticPr fontId="1" type="noConversion"/>
  </si>
  <si>
    <t>应援版</t>
    <phoneticPr fontId="1" type="noConversion"/>
  </si>
  <si>
    <t>pow</t>
    <phoneticPr fontId="1" type="noConversion"/>
  </si>
  <si>
    <t>tec</t>
    <phoneticPr fontId="1" type="noConversion"/>
  </si>
  <si>
    <t>stm</t>
    <phoneticPr fontId="1" type="noConversion"/>
  </si>
  <si>
    <t>apl</t>
    <phoneticPr fontId="1" type="noConversion"/>
  </si>
  <si>
    <t>惊人的体力F</t>
  </si>
  <si>
    <t>深处体力12pp</t>
  </si>
  <si>
    <t>玛丽</t>
    <phoneticPr fontId="1" type="noConversion"/>
  </si>
  <si>
    <t>luna</t>
    <phoneticPr fontId="1" type="noConversion"/>
  </si>
  <si>
    <t>空技能</t>
  </si>
  <si>
    <t>背身假动作A</t>
  </si>
  <si>
    <t>背身假动作E</t>
  </si>
  <si>
    <t>攻击指令</t>
    <phoneticPr fontId="1" type="noConversion"/>
  </si>
  <si>
    <t>主攻手</t>
    <phoneticPr fontId="1" type="noConversion"/>
  </si>
  <si>
    <t>攻击对象</t>
    <phoneticPr fontId="1" type="noConversion"/>
  </si>
  <si>
    <t>海咲</t>
    <phoneticPr fontId="1" type="noConversion"/>
  </si>
  <si>
    <t>康娜</t>
    <phoneticPr fontId="1" type="noConversion"/>
  </si>
  <si>
    <t>豪爽杀球F</t>
  </si>
  <si>
    <t>热烈的欢呼F</t>
  </si>
  <si>
    <t>令人内伤的技巧A lv3</t>
  </si>
  <si>
    <t>佯攻应援板</t>
  </si>
  <si>
    <t>随机</t>
  </si>
  <si>
    <t>技能数据</t>
    <phoneticPr fontId="1" type="noConversion"/>
  </si>
  <si>
    <t>女孩属性</t>
    <phoneticPr fontId="1" type="noConversion"/>
  </si>
  <si>
    <t>指令</t>
    <phoneticPr fontId="1" type="noConversion"/>
  </si>
  <si>
    <t xml:space="preserve">秘密力量5PP	</t>
  </si>
  <si>
    <t>自动爆气</t>
    <phoneticPr fontId="1" type="noConversion"/>
  </si>
  <si>
    <t>No</t>
  </si>
  <si>
    <t>康娜</t>
  </si>
  <si>
    <t>luna</t>
  </si>
  <si>
    <t>玛丽</t>
  </si>
  <si>
    <t>海咲</t>
  </si>
  <si>
    <t>几分制?</t>
    <phoneticPr fontId="1" type="noConversion"/>
  </si>
  <si>
    <t>(最大值1000</t>
    <phoneticPr fontId="1" type="noConversion"/>
  </si>
  <si>
    <t>刷多少把?</t>
    <phoneticPr fontId="1" type="noConversion"/>
  </si>
  <si>
    <t xml:space="preserve">秘密力量3PP	</t>
  </si>
  <si>
    <t>深处体力13pp</t>
  </si>
  <si>
    <t>随机数据池</t>
    <phoneticPr fontId="1" type="noConversion"/>
  </si>
  <si>
    <t>赛制</t>
    <phoneticPr fontId="1" type="noConversion"/>
  </si>
  <si>
    <t>女孩</t>
  </si>
  <si>
    <t>强力杀球A</t>
  </si>
  <si>
    <t>白金攻击手</t>
  </si>
  <si>
    <t>强力杀球E</t>
  </si>
  <si>
    <t>白金防御者</t>
  </si>
  <si>
    <t>心</t>
  </si>
  <si>
    <t>强力杀球F</t>
  </si>
  <si>
    <t>环</t>
  </si>
  <si>
    <t>丽凤</t>
  </si>
  <si>
    <t>背身假动作F</t>
  </si>
  <si>
    <t>惊人的体力A</t>
  </si>
  <si>
    <t>霞</t>
  </si>
  <si>
    <t>惊人的体力E</t>
  </si>
  <si>
    <t>高等心理战</t>
  </si>
  <si>
    <t>穗香</t>
  </si>
  <si>
    <t>铁壁的防御</t>
  </si>
  <si>
    <t xml:space="preserve">女天狗  </t>
  </si>
  <si>
    <t>高等心理战A</t>
  </si>
  <si>
    <t>强烈的压力</t>
  </si>
  <si>
    <t>瞳</t>
  </si>
  <si>
    <t>高等心理战E</t>
  </si>
  <si>
    <t>海莲娜</t>
  </si>
  <si>
    <t>高等心理战F</t>
  </si>
  <si>
    <t>绫音</t>
  </si>
  <si>
    <t>铁壁的防御A</t>
  </si>
  <si>
    <t>红叶</t>
  </si>
  <si>
    <t>铁壁的防御F</t>
  </si>
  <si>
    <t>灼热的舞蹈</t>
  </si>
  <si>
    <t>Fiona</t>
  </si>
  <si>
    <t>强烈的压力A</t>
  </si>
  <si>
    <t>凪咲</t>
  </si>
  <si>
    <t>强烈的压力E</t>
  </si>
  <si>
    <t>秘密力量p</t>
  </si>
  <si>
    <t>莫妮卡</t>
  </si>
  <si>
    <t>闪耀技巧p</t>
  </si>
  <si>
    <t>小百合</t>
  </si>
  <si>
    <t>深处体力p</t>
  </si>
  <si>
    <t>帕蒂</t>
  </si>
  <si>
    <t>灼热的舞蹈A</t>
  </si>
  <si>
    <t>灼热的舞蹈E</t>
  </si>
  <si>
    <t>灼热的舞蹈F</t>
  </si>
  <si>
    <t>观众全体起立A</t>
  </si>
  <si>
    <t>观众全体起立E</t>
  </si>
  <si>
    <t>观众全体起立F</t>
  </si>
  <si>
    <t>杀球应援板</t>
  </si>
  <si>
    <t>SR的力量p</t>
  </si>
  <si>
    <t>SR的技巧p</t>
  </si>
  <si>
    <t>SR的体力p</t>
  </si>
  <si>
    <t>天使杀球</t>
  </si>
  <si>
    <t>隐藏的魅力3pp</t>
  </si>
  <si>
    <t>隐藏的魅力5pp</t>
  </si>
  <si>
    <t>SR的魅力p</t>
  </si>
  <si>
    <t>隐藏的魅力p</t>
  </si>
  <si>
    <t>佯攻应援板 lv5</t>
  </si>
  <si>
    <t>背身假动作</t>
    <phoneticPr fontId="1" type="noConversion"/>
  </si>
  <si>
    <t xml:space="preserve">强力杀球  </t>
    <phoneticPr fontId="1" type="noConversion"/>
  </si>
  <si>
    <t>观众全体起立</t>
    <phoneticPr fontId="1" type="noConversion"/>
  </si>
  <si>
    <t>令人内伤的技巧</t>
    <phoneticPr fontId="1" type="noConversion"/>
  </si>
  <si>
    <t>惊人的体力</t>
    <phoneticPr fontId="1" type="noConversion"/>
  </si>
  <si>
    <t>强力一击lv2</t>
    <phoneticPr fontId="1" type="noConversion"/>
  </si>
  <si>
    <t>令人内伤的技巧A lv3</t>
    <phoneticPr fontId="1" type="noConversion"/>
  </si>
  <si>
    <t>背身假动作lv2</t>
    <phoneticPr fontId="1" type="noConversion"/>
  </si>
  <si>
    <t>白金接球手</t>
    <phoneticPr fontId="1" type="noConversion"/>
  </si>
  <si>
    <t>佯攻</t>
  </si>
  <si>
    <t>秘密力量</t>
    <phoneticPr fontId="1" type="noConversion"/>
  </si>
  <si>
    <t>闪耀的技巧</t>
    <phoneticPr fontId="1" type="noConversion"/>
  </si>
  <si>
    <t>没打假球</t>
    <phoneticPr fontId="1" type="noConversion"/>
  </si>
  <si>
    <t>隐藏的魅力pp</t>
    <phoneticPr fontId="1" type="noConversion"/>
  </si>
  <si>
    <t>测试次数</t>
    <phoneticPr fontId="1" type="noConversion"/>
  </si>
  <si>
    <t>我方得分</t>
    <phoneticPr fontId="1" type="noConversion"/>
  </si>
  <si>
    <t>对方得分</t>
    <phoneticPr fontId="1" type="noConversion"/>
  </si>
  <si>
    <t>攻击女孩</t>
    <phoneticPr fontId="1" type="noConversion"/>
  </si>
  <si>
    <t>防守女孩</t>
    <phoneticPr fontId="1" type="noConversion"/>
  </si>
  <si>
    <t>攻击方式</t>
    <phoneticPr fontId="1" type="noConversion"/>
  </si>
  <si>
    <t>攻击力</t>
    <phoneticPr fontId="1" type="noConversion"/>
  </si>
  <si>
    <t>防御力</t>
    <phoneticPr fontId="1" type="noConversion"/>
  </si>
  <si>
    <t>从深处涌现的体力pp</t>
  </si>
  <si>
    <t>失败</t>
    <phoneticPr fontId="1" type="noConversion"/>
  </si>
  <si>
    <t>情绪值</t>
  </si>
  <si>
    <t>对方的情绪值</t>
    <phoneticPr fontId="1" type="noConversion"/>
  </si>
  <si>
    <t>对方的得分</t>
    <phoneticPr fontId="1" type="noConversion"/>
  </si>
  <si>
    <t>加载数据</t>
    <phoneticPr fontId="1" type="noConversion"/>
  </si>
  <si>
    <t>模拟计算</t>
    <phoneticPr fontId="1" type="noConversion"/>
  </si>
  <si>
    <t>整理表格</t>
    <phoneticPr fontId="1" type="noConversion"/>
  </si>
  <si>
    <t>清空输出</t>
    <phoneticPr fontId="1" type="noConversion"/>
  </si>
  <si>
    <t>魅力分</t>
    <phoneticPr fontId="1" type="noConversion"/>
  </si>
  <si>
    <t>纠错</t>
    <phoneticPr fontId="1" type="noConversion"/>
  </si>
  <si>
    <t>统计均分</t>
    <phoneticPr fontId="1" type="noConversion"/>
  </si>
  <si>
    <t>模拟均分</t>
    <phoneticPr fontId="1" type="noConversion"/>
  </si>
  <si>
    <t>误差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</si>
</sst>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3" fillId="5" borderId="0" xfId="2" applyAlignment="1">
      <alignment horizontal="center" vertical="center"/>
    </xf>
    <xf numFmtId="0" fontId="4" fillId="6" borderId="0" xfId="3" applyAlignment="1">
      <alignment horizontal="center" vertical="center"/>
    </xf>
    <xf numFmtId="0" fontId="2" fillId="4" borderId="0" xfId="1" applyAlignment="1">
      <alignment horizontal="center" vertical="center"/>
    </xf>
    <xf numFmtId="0" fontId="4" fillId="6" borderId="0" xfId="3" applyAlignment="1">
      <alignment vertical="center"/>
    </xf>
    <xf numFmtId="0" fontId="2" fillId="4" borderId="0" xfId="1" applyAlignment="1">
      <alignment vertical="center"/>
    </xf>
    <xf numFmtId="0" fontId="0" fillId="2" borderId="0" xfId="0" applyFill="1" applyAlignment="1">
      <alignment horizontal="center" vertical="center"/>
    </xf>
  </cellXfs>
  <cellStyles count="4">
    <cellStyle name="差" xfId="2" builtinId="27"/>
    <cellStyle name="常规" xfId="0" builtinId="0"/>
    <cellStyle name="好" xfId="1" builtinId="26"/>
    <cellStyle name="适中" xfId="3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599354</xdr:colOff>
      <xdr:row>79</xdr:row>
      <xdr:rowOff>34243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E872FE90-F157-458E-9693-A222C825D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35562" cy="139961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4377A-9C78-4138-B0C9-E7B1A67789BB}">
  <sheetPr codeName="Sheet2"/>
  <dimension ref="C1:D18"/>
  <sheetViews>
    <sheetView zoomScaleNormal="100" workbookViewId="0">
      <selection sqref="A1:A1048576"/>
    </sheetView>
  </sheetViews>
  <sheetFormatPr defaultRowHeight="13.95" x14ac:dyDescent="0.25"/>
  <cols>
    <col min="1" max="1" width="23.44140625" customWidth="1"/>
    <col min="2" max="2" width="22.5546875" customWidth="1"/>
    <col min="3" max="3" width="17.88671875" style="3" customWidth="1"/>
    <col min="4" max="4" width="36.77734375" customWidth="1"/>
    <col min="5" max="5" width="17.33203125" customWidth="1"/>
  </cols>
  <sheetData>
    <row r="1" spans="3:4" ht="39.950000000000003" customHeight="1" x14ac:dyDescent="0.25"/>
    <row r="2" spans="3:4" ht="39.950000000000003" customHeight="1" x14ac:dyDescent="0.25">
      <c r="C2" t="s">
        <v>2</v>
      </c>
      <c r="D2">
        <v>0</v>
      </c>
    </row>
    <row r="3" spans="3:4" ht="39.950000000000003" customHeight="1" x14ac:dyDescent="0.25">
      <c r="C3" t="s">
        <v>131</v>
      </c>
      <c r="D3">
        <v>0</v>
      </c>
    </row>
    <row r="4" spans="3:4" ht="39.950000000000003" customHeight="1" x14ac:dyDescent="0.25">
      <c r="C4" t="s">
        <v>120</v>
      </c>
      <c r="D4">
        <v>0</v>
      </c>
    </row>
    <row r="5" spans="3:4" ht="39.950000000000003" customHeight="1" x14ac:dyDescent="0.25">
      <c r="C5" t="s">
        <v>3</v>
      </c>
      <c r="D5">
        <v>0</v>
      </c>
    </row>
    <row r="6" spans="3:4" ht="39.950000000000003" customHeight="1" x14ac:dyDescent="0.25">
      <c r="C6" t="s">
        <v>4</v>
      </c>
      <c r="D6">
        <v>0</v>
      </c>
    </row>
    <row r="7" spans="3:4" ht="39.950000000000003" customHeight="1" x14ac:dyDescent="0.25">
      <c r="C7" t="s">
        <v>5</v>
      </c>
      <c r="D7">
        <v>0</v>
      </c>
    </row>
    <row r="8" spans="3:4" ht="39.950000000000003" customHeight="1" x14ac:dyDescent="0.25">
      <c r="C8"/>
    </row>
    <row r="9" spans="3:4" ht="39.950000000000003" customHeight="1" x14ac:dyDescent="0.25">
      <c r="C9"/>
    </row>
    <row r="10" spans="3:4" ht="39.950000000000003" customHeight="1" x14ac:dyDescent="0.25">
      <c r="C10"/>
    </row>
    <row r="11" spans="3:4" ht="34.950000000000003" customHeight="1" x14ac:dyDescent="0.25"/>
    <row r="12" spans="3:4" ht="34.5" customHeight="1" x14ac:dyDescent="0.25"/>
    <row r="13" spans="3:4" ht="34.950000000000003" customHeight="1" x14ac:dyDescent="0.25"/>
    <row r="14" spans="3:4" ht="34.950000000000003" customHeight="1" x14ac:dyDescent="0.25"/>
    <row r="15" spans="3:4" ht="34.950000000000003" customHeight="1" x14ac:dyDescent="0.25"/>
    <row r="16" spans="3:4" ht="34.950000000000003" customHeight="1" x14ac:dyDescent="0.25"/>
    <row r="17" ht="34.950000000000003" customHeight="1" x14ac:dyDescent="0.25"/>
    <row r="18" ht="34.950000000000003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50C53-C277-4DE5-88DF-3D72CCDFD5D8}">
  <sheetPr codeName="Sheet1"/>
  <dimension ref="A1:L52"/>
  <sheetViews>
    <sheetView workbookViewId="0">
      <selection activeCell="G8" sqref="G8"/>
    </sheetView>
  </sheetViews>
  <sheetFormatPr defaultRowHeight="13.95" x14ac:dyDescent="0.25"/>
  <cols>
    <col min="1" max="1" width="20.6640625" customWidth="1"/>
    <col min="2" max="3" width="3.5546875" bestFit="1" customWidth="1"/>
    <col min="4" max="5" width="4.5546875" bestFit="1" customWidth="1"/>
    <col min="6" max="6" width="9.21875" customWidth="1"/>
    <col min="7" max="7" width="19" customWidth="1"/>
    <col min="8" max="8" width="17.21875" bestFit="1" customWidth="1"/>
    <col min="11" max="11" width="9.109375" bestFit="1" customWidth="1"/>
    <col min="12" max="12" width="8.6640625" bestFit="1" customWidth="1"/>
  </cols>
  <sheetData>
    <row r="1" spans="1:12" x14ac:dyDescent="0.25">
      <c r="A1" t="s">
        <v>24</v>
      </c>
      <c r="C1">
        <v>0</v>
      </c>
      <c r="D1">
        <v>0</v>
      </c>
      <c r="E1">
        <v>0</v>
      </c>
      <c r="H1" t="s">
        <v>24</v>
      </c>
      <c r="J1">
        <v>0</v>
      </c>
      <c r="L1" t="s">
        <v>54</v>
      </c>
    </row>
    <row r="2" spans="1:12" x14ac:dyDescent="0.25">
      <c r="A2" t="s">
        <v>55</v>
      </c>
      <c r="C2">
        <v>11</v>
      </c>
      <c r="D2">
        <v>35</v>
      </c>
      <c r="E2">
        <v>60</v>
      </c>
      <c r="H2" t="s">
        <v>33</v>
      </c>
      <c r="J2">
        <v>1</v>
      </c>
      <c r="L2" t="s">
        <v>46</v>
      </c>
    </row>
    <row r="3" spans="1:12" x14ac:dyDescent="0.25">
      <c r="A3" t="s">
        <v>57</v>
      </c>
      <c r="C3">
        <v>11</v>
      </c>
      <c r="D3">
        <v>55.000000000000007</v>
      </c>
      <c r="E3">
        <v>45</v>
      </c>
      <c r="H3" t="s">
        <v>56</v>
      </c>
      <c r="J3">
        <v>2</v>
      </c>
      <c r="L3" t="s">
        <v>59</v>
      </c>
    </row>
    <row r="4" spans="1:12" x14ac:dyDescent="0.25">
      <c r="A4" t="s">
        <v>60</v>
      </c>
      <c r="C4">
        <v>11</v>
      </c>
      <c r="D4">
        <v>60</v>
      </c>
      <c r="E4">
        <v>35</v>
      </c>
      <c r="H4" t="s">
        <v>58</v>
      </c>
      <c r="J4">
        <v>3</v>
      </c>
      <c r="L4" t="s">
        <v>45</v>
      </c>
    </row>
    <row r="5" spans="1:12" x14ac:dyDescent="0.25">
      <c r="A5" t="s">
        <v>25</v>
      </c>
      <c r="C5">
        <v>12</v>
      </c>
      <c r="D5">
        <v>35</v>
      </c>
      <c r="E5">
        <v>60</v>
      </c>
      <c r="H5" t="s">
        <v>0</v>
      </c>
      <c r="J5">
        <v>4</v>
      </c>
      <c r="L5" t="s">
        <v>61</v>
      </c>
    </row>
    <row r="6" spans="1:12" x14ac:dyDescent="0.25">
      <c r="A6" t="s">
        <v>26</v>
      </c>
      <c r="C6">
        <v>12</v>
      </c>
      <c r="D6">
        <v>55.000000000000007</v>
      </c>
      <c r="E6">
        <v>45</v>
      </c>
      <c r="H6" s="2" t="s">
        <v>1</v>
      </c>
      <c r="I6" s="2"/>
      <c r="J6" s="2">
        <v>5</v>
      </c>
      <c r="L6" t="s">
        <v>62</v>
      </c>
    </row>
    <row r="7" spans="1:12" x14ac:dyDescent="0.25">
      <c r="A7" t="s">
        <v>63</v>
      </c>
      <c r="C7">
        <v>12</v>
      </c>
      <c r="D7">
        <v>60</v>
      </c>
      <c r="E7">
        <v>35</v>
      </c>
      <c r="H7" t="s">
        <v>109</v>
      </c>
      <c r="J7">
        <v>11</v>
      </c>
      <c r="L7" t="s">
        <v>44</v>
      </c>
    </row>
    <row r="8" spans="1:12" x14ac:dyDescent="0.25">
      <c r="A8" t="s">
        <v>64</v>
      </c>
      <c r="C8">
        <v>24</v>
      </c>
      <c r="D8">
        <v>35</v>
      </c>
      <c r="E8">
        <v>60</v>
      </c>
      <c r="H8" t="s">
        <v>108</v>
      </c>
      <c r="J8">
        <v>12</v>
      </c>
      <c r="L8" t="s">
        <v>65</v>
      </c>
    </row>
    <row r="9" spans="1:12" x14ac:dyDescent="0.25">
      <c r="A9" t="s">
        <v>66</v>
      </c>
      <c r="C9">
        <v>24</v>
      </c>
      <c r="D9">
        <v>55.000000000000007</v>
      </c>
      <c r="E9">
        <v>40</v>
      </c>
      <c r="H9" t="s">
        <v>118</v>
      </c>
      <c r="J9">
        <v>13</v>
      </c>
      <c r="L9" t="s">
        <v>68</v>
      </c>
    </row>
    <row r="10" spans="1:12" x14ac:dyDescent="0.25">
      <c r="A10" t="s">
        <v>20</v>
      </c>
      <c r="C10">
        <v>24</v>
      </c>
      <c r="D10">
        <v>60</v>
      </c>
      <c r="E10">
        <v>35</v>
      </c>
      <c r="H10" t="s">
        <v>119</v>
      </c>
      <c r="J10">
        <v>14</v>
      </c>
      <c r="L10" t="s">
        <v>70</v>
      </c>
    </row>
    <row r="11" spans="1:12" x14ac:dyDescent="0.25">
      <c r="A11" t="s">
        <v>71</v>
      </c>
      <c r="C11">
        <v>15</v>
      </c>
      <c r="D11">
        <v>35</v>
      </c>
      <c r="E11">
        <v>-60</v>
      </c>
      <c r="H11" t="s">
        <v>67</v>
      </c>
      <c r="J11">
        <v>15</v>
      </c>
      <c r="L11" t="s">
        <v>73</v>
      </c>
    </row>
    <row r="12" spans="1:12" x14ac:dyDescent="0.25">
      <c r="A12" t="s">
        <v>74</v>
      </c>
      <c r="C12">
        <v>15</v>
      </c>
      <c r="D12">
        <v>55.000000000000007</v>
      </c>
      <c r="E12">
        <v>-40</v>
      </c>
      <c r="H12" t="s">
        <v>69</v>
      </c>
      <c r="J12">
        <v>16</v>
      </c>
      <c r="L12" t="s">
        <v>75</v>
      </c>
    </row>
    <row r="13" spans="1:12" x14ac:dyDescent="0.25">
      <c r="A13" t="s">
        <v>76</v>
      </c>
      <c r="C13">
        <v>15</v>
      </c>
      <c r="D13">
        <v>60</v>
      </c>
      <c r="E13">
        <v>-35</v>
      </c>
      <c r="H13" s="2" t="s">
        <v>72</v>
      </c>
      <c r="I13" s="2"/>
      <c r="J13" s="2">
        <v>17</v>
      </c>
      <c r="L13" t="s">
        <v>77</v>
      </c>
    </row>
    <row r="14" spans="1:12" x14ac:dyDescent="0.25">
      <c r="A14" t="s">
        <v>78</v>
      </c>
      <c r="C14">
        <v>16</v>
      </c>
      <c r="D14">
        <v>35</v>
      </c>
      <c r="E14">
        <v>60</v>
      </c>
      <c r="H14" t="s">
        <v>110</v>
      </c>
      <c r="J14">
        <v>21</v>
      </c>
      <c r="L14" t="s">
        <v>79</v>
      </c>
    </row>
    <row r="15" spans="1:12" x14ac:dyDescent="0.25">
      <c r="A15" t="s">
        <v>80</v>
      </c>
      <c r="C15">
        <v>16</v>
      </c>
      <c r="D15">
        <v>60</v>
      </c>
      <c r="E15">
        <v>35</v>
      </c>
      <c r="H15" t="s">
        <v>111</v>
      </c>
      <c r="J15">
        <v>22</v>
      </c>
      <c r="L15" t="s">
        <v>82</v>
      </c>
    </row>
    <row r="16" spans="1:12" x14ac:dyDescent="0.25">
      <c r="A16" t="s">
        <v>83</v>
      </c>
      <c r="C16">
        <v>17</v>
      </c>
      <c r="D16">
        <v>35</v>
      </c>
      <c r="E16">
        <v>-60</v>
      </c>
      <c r="H16" t="s">
        <v>121</v>
      </c>
      <c r="J16">
        <v>23</v>
      </c>
      <c r="L16" t="s">
        <v>84</v>
      </c>
    </row>
    <row r="17" spans="1:12" x14ac:dyDescent="0.25">
      <c r="A17" t="s">
        <v>85</v>
      </c>
      <c r="C17">
        <v>17</v>
      </c>
      <c r="D17">
        <v>55.000000000000007</v>
      </c>
      <c r="E17">
        <v>-40</v>
      </c>
      <c r="G17" t="s">
        <v>130</v>
      </c>
      <c r="H17" t="s">
        <v>112</v>
      </c>
      <c r="J17">
        <v>24</v>
      </c>
      <c r="L17" t="s">
        <v>43</v>
      </c>
    </row>
    <row r="18" spans="1:12" x14ac:dyDescent="0.25">
      <c r="A18" t="s">
        <v>86</v>
      </c>
      <c r="C18">
        <v>13</v>
      </c>
      <c r="D18">
        <v>100</v>
      </c>
      <c r="E18">
        <v>11</v>
      </c>
      <c r="H18" t="s">
        <v>81</v>
      </c>
      <c r="J18">
        <v>25</v>
      </c>
      <c r="L18" t="s">
        <v>87</v>
      </c>
    </row>
    <row r="19" spans="1:12" x14ac:dyDescent="0.25">
      <c r="A19" t="s">
        <v>88</v>
      </c>
      <c r="C19">
        <v>14</v>
      </c>
      <c r="D19">
        <v>100</v>
      </c>
      <c r="E19">
        <v>11</v>
      </c>
      <c r="H19" t="s">
        <v>32</v>
      </c>
      <c r="J19">
        <v>26</v>
      </c>
      <c r="L19" t="s">
        <v>89</v>
      </c>
    </row>
    <row r="20" spans="1:12" x14ac:dyDescent="0.25">
      <c r="A20" t="s">
        <v>90</v>
      </c>
      <c r="C20">
        <v>24</v>
      </c>
      <c r="D20">
        <v>100</v>
      </c>
      <c r="E20">
        <v>11</v>
      </c>
      <c r="H20" s="2" t="s">
        <v>6</v>
      </c>
      <c r="I20" s="2"/>
      <c r="J20" s="2">
        <v>27</v>
      </c>
      <c r="L20" t="s">
        <v>91</v>
      </c>
    </row>
    <row r="21" spans="1:12" x14ac:dyDescent="0.25">
      <c r="A21" t="s">
        <v>92</v>
      </c>
      <c r="C21">
        <v>25</v>
      </c>
      <c r="D21">
        <v>35</v>
      </c>
      <c r="E21">
        <v>60</v>
      </c>
    </row>
    <row r="22" spans="1:12" x14ac:dyDescent="0.25">
      <c r="A22" t="s">
        <v>93</v>
      </c>
      <c r="C22">
        <v>25</v>
      </c>
      <c r="D22">
        <v>55.000000000000007</v>
      </c>
      <c r="E22">
        <v>40</v>
      </c>
    </row>
    <row r="23" spans="1:12" x14ac:dyDescent="0.25">
      <c r="A23" t="s">
        <v>94</v>
      </c>
      <c r="C23">
        <v>25</v>
      </c>
      <c r="D23">
        <v>60</v>
      </c>
      <c r="E23">
        <v>35</v>
      </c>
    </row>
    <row r="24" spans="1:12" x14ac:dyDescent="0.25">
      <c r="A24" t="s">
        <v>95</v>
      </c>
      <c r="C24">
        <v>21</v>
      </c>
      <c r="D24">
        <v>35</v>
      </c>
      <c r="E24">
        <v>60</v>
      </c>
    </row>
    <row r="25" spans="1:12" x14ac:dyDescent="0.25">
      <c r="A25" t="s">
        <v>96</v>
      </c>
      <c r="C25">
        <v>21</v>
      </c>
      <c r="D25">
        <v>55.000000000000007</v>
      </c>
      <c r="E25">
        <v>40</v>
      </c>
    </row>
    <row r="26" spans="1:12" x14ac:dyDescent="0.25">
      <c r="A26" t="s">
        <v>97</v>
      </c>
      <c r="C26">
        <v>21</v>
      </c>
      <c r="D26">
        <v>60</v>
      </c>
      <c r="E26">
        <v>35</v>
      </c>
    </row>
    <row r="27" spans="1:12" x14ac:dyDescent="0.25">
      <c r="A27" t="s">
        <v>32</v>
      </c>
      <c r="C27">
        <v>26</v>
      </c>
      <c r="D27">
        <v>100</v>
      </c>
      <c r="E27">
        <v>30</v>
      </c>
    </row>
    <row r="28" spans="1:12" x14ac:dyDescent="0.25">
      <c r="A28" t="s">
        <v>6</v>
      </c>
      <c r="C28">
        <v>27</v>
      </c>
      <c r="D28">
        <v>100</v>
      </c>
      <c r="E28">
        <v>30</v>
      </c>
    </row>
    <row r="29" spans="1:12" x14ac:dyDescent="0.25">
      <c r="A29" t="s">
        <v>33</v>
      </c>
      <c r="C29">
        <v>1</v>
      </c>
      <c r="D29">
        <v>100</v>
      </c>
      <c r="E29">
        <v>30</v>
      </c>
    </row>
    <row r="30" spans="1:12" x14ac:dyDescent="0.25">
      <c r="A30" t="s">
        <v>56</v>
      </c>
      <c r="C30">
        <v>2</v>
      </c>
      <c r="D30">
        <v>100</v>
      </c>
      <c r="E30">
        <v>15</v>
      </c>
    </row>
    <row r="31" spans="1:12" x14ac:dyDescent="0.25">
      <c r="A31" s="2" t="s">
        <v>116</v>
      </c>
      <c r="B31" s="2"/>
      <c r="C31" s="2">
        <v>3</v>
      </c>
      <c r="D31" s="2">
        <v>100</v>
      </c>
      <c r="E31" s="2">
        <v>15</v>
      </c>
    </row>
    <row r="32" spans="1:12" x14ac:dyDescent="0.25">
      <c r="A32" t="s">
        <v>98</v>
      </c>
      <c r="C32">
        <v>4</v>
      </c>
      <c r="D32">
        <v>100</v>
      </c>
      <c r="E32">
        <v>3</v>
      </c>
    </row>
    <row r="33" spans="1:5" x14ac:dyDescent="0.25">
      <c r="A33" t="s">
        <v>35</v>
      </c>
      <c r="C33">
        <v>5</v>
      </c>
      <c r="D33">
        <v>100</v>
      </c>
      <c r="E33">
        <v>3</v>
      </c>
    </row>
    <row r="34" spans="1:5" x14ac:dyDescent="0.25">
      <c r="A34" t="s">
        <v>50</v>
      </c>
      <c r="C34">
        <v>13</v>
      </c>
      <c r="D34">
        <v>100</v>
      </c>
      <c r="E34">
        <v>24</v>
      </c>
    </row>
    <row r="35" spans="1:5" x14ac:dyDescent="0.25">
      <c r="A35" t="s">
        <v>40</v>
      </c>
      <c r="C35">
        <v>13</v>
      </c>
      <c r="D35">
        <v>100</v>
      </c>
      <c r="E35">
        <v>27</v>
      </c>
    </row>
    <row r="36" spans="1:5" x14ac:dyDescent="0.25">
      <c r="A36" t="s">
        <v>7</v>
      </c>
      <c r="C36">
        <v>14</v>
      </c>
      <c r="D36">
        <v>100</v>
      </c>
      <c r="E36">
        <v>24</v>
      </c>
    </row>
    <row r="37" spans="1:5" x14ac:dyDescent="0.25">
      <c r="A37" t="s">
        <v>8</v>
      </c>
      <c r="C37">
        <v>14</v>
      </c>
      <c r="D37">
        <v>100</v>
      </c>
      <c r="E37">
        <v>27</v>
      </c>
    </row>
    <row r="38" spans="1:5" x14ac:dyDescent="0.25">
      <c r="A38" t="s">
        <v>21</v>
      </c>
      <c r="C38">
        <v>24</v>
      </c>
      <c r="D38">
        <v>100</v>
      </c>
      <c r="E38">
        <v>24</v>
      </c>
    </row>
    <row r="39" spans="1:5" x14ac:dyDescent="0.25">
      <c r="A39" t="s">
        <v>51</v>
      </c>
      <c r="C39">
        <v>24</v>
      </c>
      <c r="D39">
        <v>100</v>
      </c>
      <c r="E39">
        <v>27</v>
      </c>
    </row>
    <row r="40" spans="1:5" x14ac:dyDescent="0.25">
      <c r="A40" t="s">
        <v>99</v>
      </c>
      <c r="C40">
        <v>13</v>
      </c>
      <c r="D40">
        <v>100</v>
      </c>
      <c r="E40">
        <v>9</v>
      </c>
    </row>
    <row r="41" spans="1:5" x14ac:dyDescent="0.25">
      <c r="A41" t="s">
        <v>100</v>
      </c>
      <c r="C41">
        <v>14</v>
      </c>
      <c r="D41">
        <v>100</v>
      </c>
      <c r="E41">
        <v>9</v>
      </c>
    </row>
    <row r="42" spans="1:5" x14ac:dyDescent="0.25">
      <c r="A42" t="s">
        <v>101</v>
      </c>
      <c r="C42">
        <v>24</v>
      </c>
      <c r="D42">
        <v>100</v>
      </c>
      <c r="E42">
        <v>9</v>
      </c>
    </row>
    <row r="43" spans="1:5" x14ac:dyDescent="0.25">
      <c r="A43" t="s">
        <v>102</v>
      </c>
      <c r="C43">
        <v>4</v>
      </c>
      <c r="D43">
        <v>100</v>
      </c>
      <c r="E43">
        <v>10</v>
      </c>
    </row>
    <row r="44" spans="1:5" x14ac:dyDescent="0.25">
      <c r="A44" t="s">
        <v>9</v>
      </c>
      <c r="C44">
        <v>5</v>
      </c>
      <c r="D44">
        <v>100</v>
      </c>
      <c r="E44">
        <v>10</v>
      </c>
    </row>
    <row r="45" spans="1:5" x14ac:dyDescent="0.25">
      <c r="A45" t="s">
        <v>103</v>
      </c>
      <c r="C45">
        <v>23</v>
      </c>
      <c r="D45">
        <v>100</v>
      </c>
      <c r="E45">
        <v>24</v>
      </c>
    </row>
    <row r="46" spans="1:5" x14ac:dyDescent="0.25">
      <c r="A46" t="s">
        <v>104</v>
      </c>
      <c r="C46">
        <v>23</v>
      </c>
      <c r="D46">
        <v>100</v>
      </c>
      <c r="E46">
        <v>27</v>
      </c>
    </row>
    <row r="47" spans="1:5" x14ac:dyDescent="0.25">
      <c r="A47" t="s">
        <v>105</v>
      </c>
      <c r="C47">
        <v>23</v>
      </c>
      <c r="D47">
        <v>100</v>
      </c>
      <c r="E47">
        <v>9</v>
      </c>
    </row>
    <row r="48" spans="1:5" x14ac:dyDescent="0.25">
      <c r="A48" t="s">
        <v>106</v>
      </c>
      <c r="C48">
        <v>23</v>
      </c>
      <c r="D48">
        <v>100</v>
      </c>
      <c r="E48">
        <v>11</v>
      </c>
    </row>
    <row r="49" spans="1:5" x14ac:dyDescent="0.25">
      <c r="A49" t="s">
        <v>114</v>
      </c>
      <c r="C49">
        <v>22</v>
      </c>
      <c r="D49">
        <v>50</v>
      </c>
      <c r="E49">
        <v>-10</v>
      </c>
    </row>
    <row r="50" spans="1:5" x14ac:dyDescent="0.25">
      <c r="A50" t="s">
        <v>107</v>
      </c>
      <c r="C50">
        <v>5</v>
      </c>
      <c r="D50">
        <v>100</v>
      </c>
      <c r="E50">
        <v>10</v>
      </c>
    </row>
    <row r="51" spans="1:5" x14ac:dyDescent="0.25">
      <c r="A51" t="s">
        <v>113</v>
      </c>
      <c r="C51">
        <v>11</v>
      </c>
      <c r="D51">
        <v>20</v>
      </c>
      <c r="E51">
        <v>15</v>
      </c>
    </row>
    <row r="52" spans="1:5" x14ac:dyDescent="0.25">
      <c r="A52" t="s">
        <v>115</v>
      </c>
      <c r="C52">
        <v>12</v>
      </c>
      <c r="D52">
        <v>20</v>
      </c>
      <c r="E52">
        <v>15</v>
      </c>
    </row>
  </sheetData>
  <sortState xmlns:xlrd2="http://schemas.microsoft.com/office/spreadsheetml/2017/richdata2" ref="H1:J20">
    <sortCondition ref="J1:J20"/>
  </sortState>
  <phoneticPr fontId="1" type="noConversion"/>
  <dataValidations count="1">
    <dataValidation type="list" allowBlank="1" showInputMessage="1" showErrorMessage="1" sqref="C1:C1048576 B46:B48" xr:uid="{2D138677-6979-4FDC-8A5F-9C24E8FB3566}">
      <formula1>技能类型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877CB-E682-4EB5-9620-F5C11D7005D4}">
  <sheetPr codeName="Sheet3"/>
  <dimension ref="A1:P19"/>
  <sheetViews>
    <sheetView workbookViewId="0">
      <selection activeCell="C14" sqref="C14"/>
    </sheetView>
  </sheetViews>
  <sheetFormatPr defaultColWidth="11.109375" defaultRowHeight="13.95" x14ac:dyDescent="0.25"/>
  <cols>
    <col min="1" max="1" width="6.5546875" customWidth="1"/>
    <col min="2" max="2" width="20.5546875" bestFit="1" customWidth="1"/>
    <col min="3" max="3" width="14.109375" bestFit="1" customWidth="1"/>
    <col min="4" max="4" width="17.21875" bestFit="1" customWidth="1"/>
    <col min="5" max="8" width="13" bestFit="1" customWidth="1"/>
    <col min="9" max="9" width="7.5546875" bestFit="1" customWidth="1"/>
    <col min="10" max="11" width="13" bestFit="1" customWidth="1"/>
    <col min="12" max="12" width="9.5546875" bestFit="1" customWidth="1"/>
    <col min="13" max="14" width="12.77734375" bestFit="1" customWidth="1"/>
    <col min="15" max="15" width="7.5546875" bestFit="1" customWidth="1"/>
    <col min="16" max="16" width="11.6640625" bestFit="1" customWidth="1"/>
  </cols>
  <sheetData>
    <row r="1" spans="1:16" x14ac:dyDescent="0.25">
      <c r="A1" s="2" t="s">
        <v>10</v>
      </c>
      <c r="B1" s="2" t="s">
        <v>12</v>
      </c>
      <c r="C1" s="2" t="s">
        <v>12</v>
      </c>
      <c r="D1" s="2" t="s">
        <v>12</v>
      </c>
      <c r="E1" s="2" t="s">
        <v>14</v>
      </c>
      <c r="F1" s="2" t="s">
        <v>14</v>
      </c>
      <c r="G1" s="2" t="s">
        <v>14</v>
      </c>
      <c r="H1" s="2" t="s">
        <v>14</v>
      </c>
      <c r="I1" s="2" t="s">
        <v>14</v>
      </c>
      <c r="J1" s="2" t="s">
        <v>13</v>
      </c>
      <c r="K1" s="2" t="s">
        <v>13</v>
      </c>
      <c r="L1" s="2" t="s">
        <v>13</v>
      </c>
      <c r="M1" s="2" t="s">
        <v>15</v>
      </c>
      <c r="N1" s="2" t="s">
        <v>15</v>
      </c>
      <c r="O1" s="2" t="s">
        <v>15</v>
      </c>
      <c r="P1" s="2" t="s">
        <v>15</v>
      </c>
    </row>
    <row r="2" spans="1:16" x14ac:dyDescent="0.25">
      <c r="A2" t="s">
        <v>45</v>
      </c>
      <c r="B2" t="s">
        <v>20</v>
      </c>
      <c r="C2" t="s">
        <v>56</v>
      </c>
      <c r="D2" t="s">
        <v>6</v>
      </c>
      <c r="E2" t="s">
        <v>8</v>
      </c>
      <c r="F2" t="s">
        <v>51</v>
      </c>
      <c r="G2" t="s">
        <v>7</v>
      </c>
      <c r="H2" t="s">
        <v>9</v>
      </c>
      <c r="I2" t="s">
        <v>24</v>
      </c>
      <c r="J2" t="s">
        <v>24</v>
      </c>
      <c r="K2" t="s">
        <v>24</v>
      </c>
      <c r="L2" t="s">
        <v>24</v>
      </c>
      <c r="M2" t="s">
        <v>24</v>
      </c>
      <c r="N2" t="s">
        <v>24</v>
      </c>
      <c r="O2" t="s">
        <v>24</v>
      </c>
      <c r="P2" t="s">
        <v>35</v>
      </c>
    </row>
    <row r="3" spans="1:16" x14ac:dyDescent="0.25">
      <c r="A3" t="s">
        <v>23</v>
      </c>
      <c r="B3" t="s">
        <v>24</v>
      </c>
      <c r="C3" t="s">
        <v>24</v>
      </c>
      <c r="D3" t="s">
        <v>24</v>
      </c>
      <c r="E3" t="s">
        <v>24</v>
      </c>
      <c r="F3" t="s">
        <v>24</v>
      </c>
      <c r="G3" t="s">
        <v>33</v>
      </c>
      <c r="H3" t="s">
        <v>25</v>
      </c>
      <c r="I3" t="s">
        <v>24</v>
      </c>
      <c r="J3" t="s">
        <v>24</v>
      </c>
      <c r="K3" t="s">
        <v>24</v>
      </c>
      <c r="L3" t="s">
        <v>24</v>
      </c>
      <c r="M3" t="s">
        <v>24</v>
      </c>
      <c r="N3" t="s">
        <v>24</v>
      </c>
      <c r="O3" t="s">
        <v>24</v>
      </c>
      <c r="P3" t="s">
        <v>24</v>
      </c>
    </row>
    <row r="5" spans="1:16" x14ac:dyDescent="0.25">
      <c r="A5" s="2" t="s">
        <v>11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t="s">
        <v>30</v>
      </c>
      <c r="B6" t="s">
        <v>34</v>
      </c>
      <c r="C6" t="s">
        <v>63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</row>
    <row r="7" spans="1:16" x14ac:dyDescent="0.25">
      <c r="A7" t="s">
        <v>31</v>
      </c>
      <c r="B7" t="s">
        <v>34</v>
      </c>
      <c r="C7" t="s">
        <v>55</v>
      </c>
      <c r="D7" t="s">
        <v>9</v>
      </c>
      <c r="E7" t="s">
        <v>24</v>
      </c>
      <c r="F7" t="s">
        <v>56</v>
      </c>
      <c r="G7" t="s">
        <v>33</v>
      </c>
      <c r="H7" t="s">
        <v>24</v>
      </c>
      <c r="I7" t="s">
        <v>24</v>
      </c>
      <c r="J7" t="s">
        <v>24</v>
      </c>
      <c r="K7" t="s">
        <v>24</v>
      </c>
      <c r="L7" t="s">
        <v>24</v>
      </c>
      <c r="M7" t="s">
        <v>24</v>
      </c>
      <c r="N7" t="s">
        <v>24</v>
      </c>
      <c r="O7" t="s">
        <v>24</v>
      </c>
      <c r="P7" t="s">
        <v>24</v>
      </c>
    </row>
    <row r="12" spans="1:16" x14ac:dyDescent="0.25">
      <c r="A12" s="2" t="s">
        <v>10</v>
      </c>
      <c r="B12" s="2" t="s">
        <v>16</v>
      </c>
      <c r="C12" s="2" t="s">
        <v>17</v>
      </c>
      <c r="D12" s="2" t="s">
        <v>18</v>
      </c>
      <c r="E12" s="4" t="s">
        <v>19</v>
      </c>
      <c r="G12" s="2" t="s">
        <v>27</v>
      </c>
      <c r="H12" s="2" t="s">
        <v>27</v>
      </c>
      <c r="J12" s="2" t="s">
        <v>47</v>
      </c>
    </row>
    <row r="13" spans="1:16" x14ac:dyDescent="0.25">
      <c r="A13" t="s">
        <v>22</v>
      </c>
      <c r="B13">
        <v>4100</v>
      </c>
      <c r="C13">
        <v>6000</v>
      </c>
      <c r="D13">
        <v>7000</v>
      </c>
      <c r="E13">
        <v>220</v>
      </c>
      <c r="G13" t="s">
        <v>117</v>
      </c>
      <c r="H13" t="s">
        <v>36</v>
      </c>
      <c r="J13">
        <v>3</v>
      </c>
    </row>
    <row r="14" spans="1:16" x14ac:dyDescent="0.25">
      <c r="A14" t="s">
        <v>23</v>
      </c>
      <c r="B14">
        <v>4000</v>
      </c>
      <c r="C14">
        <v>6500</v>
      </c>
      <c r="D14">
        <v>6500</v>
      </c>
      <c r="E14">
        <v>220</v>
      </c>
      <c r="G14" s="2" t="s">
        <v>28</v>
      </c>
      <c r="H14" s="2" t="s">
        <v>28</v>
      </c>
      <c r="J14" s="2" t="s">
        <v>49</v>
      </c>
      <c r="K14" s="2" t="s">
        <v>48</v>
      </c>
    </row>
    <row r="15" spans="1:16" x14ac:dyDescent="0.25">
      <c r="A15" s="2" t="s">
        <v>11</v>
      </c>
      <c r="B15" s="2"/>
      <c r="C15" s="2"/>
      <c r="D15" s="2"/>
      <c r="E15" s="2"/>
      <c r="G15" t="s">
        <v>45</v>
      </c>
      <c r="H15" t="s">
        <v>43</v>
      </c>
      <c r="J15">
        <v>3</v>
      </c>
    </row>
    <row r="16" spans="1:16" x14ac:dyDescent="0.25">
      <c r="A16" t="s">
        <v>30</v>
      </c>
      <c r="B16">
        <v>6000</v>
      </c>
      <c r="C16">
        <v>4000</v>
      </c>
      <c r="D16">
        <v>7000</v>
      </c>
      <c r="E16">
        <v>180</v>
      </c>
      <c r="G16" s="2" t="s">
        <v>29</v>
      </c>
      <c r="H16" s="2" t="s">
        <v>29</v>
      </c>
    </row>
    <row r="17" spans="1:8" x14ac:dyDescent="0.25">
      <c r="A17" t="s">
        <v>31</v>
      </c>
      <c r="B17">
        <v>6000</v>
      </c>
      <c r="C17">
        <v>4000</v>
      </c>
      <c r="D17">
        <v>7000</v>
      </c>
      <c r="E17">
        <v>200</v>
      </c>
      <c r="G17" t="s">
        <v>46</v>
      </c>
      <c r="H17" t="s">
        <v>44</v>
      </c>
    </row>
    <row r="18" spans="1:8" x14ac:dyDescent="0.25">
      <c r="G18" s="2" t="s">
        <v>41</v>
      </c>
      <c r="H18" s="2" t="s">
        <v>41</v>
      </c>
    </row>
    <row r="19" spans="1:8" x14ac:dyDescent="0.25">
      <c r="A19" s="1"/>
      <c r="B19" s="1"/>
      <c r="C19" s="1"/>
      <c r="G19" t="s">
        <v>42</v>
      </c>
      <c r="H19" t="s">
        <v>42</v>
      </c>
    </row>
  </sheetData>
  <phoneticPr fontId="1" type="noConversion"/>
  <dataValidations count="15">
    <dataValidation type="list" allowBlank="1" showInputMessage="1" showErrorMessage="1" sqref="G13:H13" xr:uid="{AB96D115-3513-4CCB-80A5-0E58FA32F329}">
      <formula1>"杀球,佯攻,随机"</formula1>
    </dataValidation>
    <dataValidation type="list" allowBlank="1" showInputMessage="1" showErrorMessage="1" sqref="Q8:T8 Q4:T4" xr:uid="{6F6A94AF-9D69-43EA-A036-8AAD2D86D808}">
      <formula1>A技能</formula1>
    </dataValidation>
    <dataValidation type="list" allowBlank="1" showInputMessage="1" showErrorMessage="1" sqref="B18:E18" xr:uid="{3D782446-ADD2-42E5-A6CB-EF0E275011C9}">
      <formula1>技能类型</formula1>
    </dataValidation>
    <dataValidation type="list" allowBlank="1" showInputMessage="1" showErrorMessage="1" sqref="J2:L2 B2:B3 C2:D2 C3:P3" xr:uid="{D2B8C5ED-A953-4A7E-A841-1CBDC9B88E2A}">
      <formula1>APF技能</formula1>
    </dataValidation>
    <dataValidation type="list" allowBlank="1" showInputMessage="1" showErrorMessage="1" sqref="E2:I2" xr:uid="{53073255-6A98-4265-A10F-3969D62B5B12}">
      <formula1>pp潜力</formula1>
    </dataValidation>
    <dataValidation type="list" allowBlank="1" showInputMessage="1" showErrorMessage="1" sqref="M2:P2" xr:uid="{4D64C83B-4146-4175-AC61-9E455CA4111E}">
      <formula1>应援板技能</formula1>
    </dataValidation>
    <dataValidation type="list" showInputMessage="1" showErrorMessage="1" sqref="G15" xr:uid="{1B6F962B-062D-44D6-9ADA-B961E7594C3A}">
      <formula1>$A$2:$A$4</formula1>
    </dataValidation>
    <dataValidation type="list" allowBlank="1" showInputMessage="1" showErrorMessage="1" sqref="G17" xr:uid="{F7E675BC-DA9A-4E1D-8C08-76587E007065}">
      <formula1>$A$6:$A$8</formula1>
    </dataValidation>
    <dataValidation type="list" allowBlank="1" showInputMessage="1" showErrorMessage="1" sqref="B6:P7" xr:uid="{A1C02ECE-0F66-4798-9839-E77F29304AA2}">
      <formula1>技能池</formula1>
    </dataValidation>
    <dataValidation type="list" allowBlank="1" showInputMessage="1" showErrorMessage="1" sqref="A2:A3 A6:A7 A13:A14 A16:A17" xr:uid="{9C7A1760-6ECE-4780-87E3-0F213AC3FA54}">
      <formula1>女孩</formula1>
    </dataValidation>
    <dataValidation type="list" allowBlank="1" showInputMessage="1" showErrorMessage="1" sqref="G19:H19" xr:uid="{9F12E38C-76C3-4E9B-93CB-D5D5CE95813A}">
      <formula1>"Yes, No"</formula1>
    </dataValidation>
    <dataValidation type="list" showInputMessage="1" showErrorMessage="1" sqref="H15" xr:uid="{3FB28132-0A56-40AC-BEAD-7ABB8BD2FDAB}">
      <formula1>$A$6:$A$8</formula1>
    </dataValidation>
    <dataValidation type="list" allowBlank="1" showInputMessage="1" showErrorMessage="1" sqref="H17" xr:uid="{C13CAE8F-D4FB-44DC-8BDC-A796C1E6244A}">
      <formula1>$A$2:$A$4</formula1>
    </dataValidation>
    <dataValidation type="list" allowBlank="1" showInputMessage="1" showErrorMessage="1" sqref="J13" xr:uid="{C59CE396-E4F0-4752-9EAC-B3DD362AB33D}">
      <formula1>"2, 3, 4, 5,6,7,8,9"</formula1>
    </dataValidation>
    <dataValidation type="whole" allowBlank="1" showInputMessage="1" showErrorMessage="1" sqref="J15" xr:uid="{6F20A1BE-F3FB-4553-8EC7-038CAB033CAE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6CD5-7C2D-4AE0-A7C1-8C8C31C97CD7}">
  <sheetPr codeName="Sheet4"/>
  <dimension ref="A1:T141"/>
  <sheetViews>
    <sheetView tabSelected="1" workbookViewId="0">
      <selection activeCell="E1" sqref="E1"/>
    </sheetView>
  </sheetViews>
  <sheetFormatPr defaultRowHeight="13.95" x14ac:dyDescent="0.25"/>
  <cols>
    <col min="1" max="5" width="9.5546875" bestFit="1" customWidth="1"/>
    <col min="6" max="6" width="9.33203125" customWidth="1"/>
    <col min="7" max="10" width="9.5546875" bestFit="1" customWidth="1"/>
    <col min="11" max="12" width="5.5546875" bestFit="1" customWidth="1"/>
    <col min="13" max="14" width="7.5546875" bestFit="1" customWidth="1"/>
    <col min="15" max="15" width="13.88671875" bestFit="1" customWidth="1"/>
    <col min="16" max="16" width="11.6640625" bestFit="1" customWidth="1"/>
  </cols>
  <sheetData>
    <row r="1" spans="1:20" s="5" customFormat="1" ht="28.45" customHeight="1" x14ac:dyDescent="0.25">
      <c r="A1" s="9" t="s">
        <v>135</v>
      </c>
      <c r="B1" s="10" t="s">
        <v>136</v>
      </c>
      <c r="C1" s="9" t="s">
        <v>137</v>
      </c>
      <c r="E1" s="8" t="s">
        <v>138</v>
      </c>
      <c r="F1"/>
      <c r="G1" s="7" t="s">
        <v>141</v>
      </c>
      <c r="H1" s="5" t="str">
        <f>IF(ISBLANK(统计页!A1),"",SUM(统计页!A:A)/COUNTA(统计页!A:A))</f>
        <v/>
      </c>
      <c r="N1"/>
    </row>
    <row r="2" spans="1:20" ht="27.25" customHeight="1" x14ac:dyDescent="0.25">
      <c r="A2" s="10" t="s">
        <v>140</v>
      </c>
      <c r="B2" s="11"/>
      <c r="C2" s="12"/>
      <c r="D2" s="1"/>
      <c r="E2" s="1"/>
      <c r="G2" s="7" t="s">
        <v>142</v>
      </c>
      <c r="H2" s="1" t="str">
        <f>IF(COUNTIF(N:N,"&gt;0") &gt;0,SUM(N:N)/(COUNTIF(N:N,"&gt;0")), "")</f>
        <v/>
      </c>
      <c r="I2" s="1"/>
      <c r="J2" s="1"/>
      <c r="K2" s="1"/>
      <c r="O2" s="1"/>
      <c r="P2" s="1"/>
      <c r="Q2" s="1"/>
      <c r="S2" s="1"/>
      <c r="T2" s="1"/>
    </row>
    <row r="3" spans="1:20" ht="27.25" customHeight="1" x14ac:dyDescent="0.25">
      <c r="G3" s="7" t="s">
        <v>143</v>
      </c>
      <c r="H3" t="str">
        <f>IF(COUNTIF(H1:H2, "&gt;0") &lt; 2,"",1 - H1/H2)</f>
        <v/>
      </c>
    </row>
    <row r="4" spans="1:20" s="6" customFormat="1" x14ac:dyDescent="0.25"/>
    <row r="5" spans="1:20" x14ac:dyDescent="0.25">
      <c r="B5" t="s">
        <v>123</v>
      </c>
      <c r="C5" t="s">
        <v>124</v>
      </c>
      <c r="D5" t="s">
        <v>125</v>
      </c>
      <c r="E5" t="s">
        <v>126</v>
      </c>
      <c r="F5" t="s">
        <v>127</v>
      </c>
      <c r="G5" t="s">
        <v>128</v>
      </c>
      <c r="H5" t="s">
        <v>129</v>
      </c>
      <c r="I5" t="str">
        <f>模拟环境!A2</f>
        <v>玛丽</v>
      </c>
      <c r="J5" t="str">
        <f>模拟环境!A3</f>
        <v>luna</v>
      </c>
      <c r="K5" t="str">
        <f>模拟环境!A6</f>
        <v>海咲</v>
      </c>
      <c r="L5" t="str">
        <f>模拟环境!A7</f>
        <v>康娜</v>
      </c>
      <c r="M5" t="s">
        <v>132</v>
      </c>
      <c r="N5" t="s">
        <v>139</v>
      </c>
      <c r="O5" t="s">
        <v>133</v>
      </c>
      <c r="P5" t="s">
        <v>134</v>
      </c>
    </row>
    <row r="141" ht="11.5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0DF8-AF77-49EF-9C66-74F480D08033}">
  <sheetPr codeName="Sheet5"/>
  <dimension ref="B1:P27"/>
  <sheetViews>
    <sheetView workbookViewId="0">
      <selection activeCell="B13" sqref="B13"/>
    </sheetView>
  </sheetViews>
  <sheetFormatPr defaultRowHeight="13.95" x14ac:dyDescent="0.25"/>
  <cols>
    <col min="2" max="2" width="9.109375" bestFit="1" customWidth="1"/>
  </cols>
  <sheetData>
    <row r="1" spans="2:16" x14ac:dyDescent="0.25">
      <c r="B1" s="13" t="s">
        <v>37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2:16" x14ac:dyDescent="0.25">
      <c r="B2">
        <f>VLOOKUP(模拟环境!B2,技能库,3,FALSE)</f>
        <v>24</v>
      </c>
      <c r="C2">
        <f>VLOOKUP(模拟环境!C2,技能库,3,FALSE)</f>
        <v>2</v>
      </c>
      <c r="D2">
        <f>VLOOKUP(模拟环境!D2,技能库,3,FALSE)</f>
        <v>27</v>
      </c>
      <c r="E2">
        <f>VLOOKUP(模拟环境!E2,技能库,3,FALSE)</f>
        <v>14</v>
      </c>
      <c r="F2">
        <f>VLOOKUP(模拟环境!F2,技能库,3,FALSE)</f>
        <v>24</v>
      </c>
      <c r="G2">
        <f>VLOOKUP(模拟环境!G2,技能库,3,FALSE)</f>
        <v>14</v>
      </c>
      <c r="H2">
        <f>VLOOKUP(模拟环境!H2,技能库,3,FALSE)</f>
        <v>5</v>
      </c>
      <c r="I2">
        <f>VLOOKUP(模拟环境!I2,技能库,3,FALSE)</f>
        <v>0</v>
      </c>
      <c r="J2">
        <f>VLOOKUP(模拟环境!J2,技能库,3,FALSE)</f>
        <v>0</v>
      </c>
      <c r="K2">
        <f>VLOOKUP(模拟环境!K2,技能库,3,FALSE)</f>
        <v>0</v>
      </c>
      <c r="L2">
        <f>VLOOKUP(模拟环境!L2,技能库,3,FALSE)</f>
        <v>0</v>
      </c>
      <c r="M2">
        <f>VLOOKUP(模拟环境!M2,技能库,3,FALSE)</f>
        <v>0</v>
      </c>
      <c r="N2">
        <f>VLOOKUP(模拟环境!N2,技能库,3,FALSE)</f>
        <v>0</v>
      </c>
      <c r="O2">
        <f>VLOOKUP(模拟环境!O2,技能库,3,FALSE)</f>
        <v>0</v>
      </c>
      <c r="P2">
        <f>VLOOKUP(模拟环境!P2,技能库,3,FALSE)</f>
        <v>5</v>
      </c>
    </row>
    <row r="3" spans="2:16" x14ac:dyDescent="0.25">
      <c r="B3">
        <f>VLOOKUP(模拟环境!B2,技能库,4,FALSE)</f>
        <v>60</v>
      </c>
      <c r="C3">
        <f>VLOOKUP(模拟环境!C2,技能库,4,FALSE)</f>
        <v>100</v>
      </c>
      <c r="D3">
        <f>VLOOKUP(模拟环境!D2,技能库,4,FALSE)</f>
        <v>100</v>
      </c>
      <c r="E3">
        <f>VLOOKUP(模拟环境!E2,技能库,4,FALSE)</f>
        <v>100</v>
      </c>
      <c r="F3">
        <f>VLOOKUP(模拟环境!F2,技能库,4,FALSE)</f>
        <v>100</v>
      </c>
      <c r="G3">
        <f>VLOOKUP(模拟环境!G2,技能库,4,FALSE)</f>
        <v>100</v>
      </c>
      <c r="H3">
        <f>VLOOKUP(模拟环境!H2,技能库,4,FALSE)</f>
        <v>100</v>
      </c>
      <c r="I3">
        <f>VLOOKUP(模拟环境!I2,技能库,4,FALSE)</f>
        <v>0</v>
      </c>
      <c r="J3">
        <f>VLOOKUP(模拟环境!J2,技能库,4,FALSE)</f>
        <v>0</v>
      </c>
      <c r="K3">
        <f>VLOOKUP(模拟环境!K2,技能库,4,FALSE)</f>
        <v>0</v>
      </c>
      <c r="L3">
        <f>VLOOKUP(模拟环境!L2,技能库,4,FALSE)</f>
        <v>0</v>
      </c>
      <c r="M3">
        <f>VLOOKUP(模拟环境!M2,技能库,4,FALSE)</f>
        <v>0</v>
      </c>
      <c r="N3">
        <f>VLOOKUP(模拟环境!N2,技能库,4,FALSE)</f>
        <v>0</v>
      </c>
      <c r="O3">
        <f>VLOOKUP(模拟环境!O2,技能库,4,FALSE)</f>
        <v>0</v>
      </c>
      <c r="P3">
        <f>VLOOKUP(模拟环境!P2,技能库,4,FALSE)</f>
        <v>100</v>
      </c>
    </row>
    <row r="4" spans="2:16" x14ac:dyDescent="0.25">
      <c r="B4">
        <f>VLOOKUP(模拟环境!B2,技能库,5,FALSE)</f>
        <v>35</v>
      </c>
      <c r="C4">
        <f>VLOOKUP(模拟环境!C2,技能库,5,FALSE)</f>
        <v>15</v>
      </c>
      <c r="D4">
        <f>VLOOKUP(模拟环境!D2,技能库,5,FALSE)</f>
        <v>30</v>
      </c>
      <c r="E4">
        <f>VLOOKUP(模拟环境!E2,技能库,5,FALSE)</f>
        <v>27</v>
      </c>
      <c r="F4">
        <f>VLOOKUP(模拟环境!F2,技能库,5,FALSE)</f>
        <v>27</v>
      </c>
      <c r="G4">
        <f>VLOOKUP(模拟环境!G2,技能库,5,FALSE)</f>
        <v>24</v>
      </c>
      <c r="H4">
        <f>VLOOKUP(模拟环境!H2,技能库,5,FALSE)</f>
        <v>10</v>
      </c>
      <c r="I4">
        <f>VLOOKUP(模拟环境!I2,技能库,5,FALSE)</f>
        <v>0</v>
      </c>
      <c r="J4">
        <f>VLOOKUP(模拟环境!J2,技能库,5,FALSE)</f>
        <v>0</v>
      </c>
      <c r="K4">
        <f>VLOOKUP(模拟环境!K2,技能库,5,FALSE)</f>
        <v>0</v>
      </c>
      <c r="L4">
        <f>VLOOKUP(模拟环境!L2,技能库,5,FALSE)</f>
        <v>0</v>
      </c>
      <c r="M4">
        <f>VLOOKUP(模拟环境!M2,技能库,5,FALSE)</f>
        <v>0</v>
      </c>
      <c r="N4">
        <f>VLOOKUP(模拟环境!N2,技能库,5,FALSE)</f>
        <v>0</v>
      </c>
      <c r="O4">
        <f>VLOOKUP(模拟环境!O2,技能库,5,FALSE)</f>
        <v>0</v>
      </c>
      <c r="P4">
        <f>VLOOKUP(模拟环境!P2,技能库,5,FALSE)</f>
        <v>3</v>
      </c>
    </row>
    <row r="5" spans="2:16" x14ac:dyDescent="0.25">
      <c r="B5">
        <f>VLOOKUP(模拟环境!B3,技能库,3,FALSE)</f>
        <v>0</v>
      </c>
      <c r="C5">
        <f>VLOOKUP(模拟环境!C3,技能库,3,FALSE)</f>
        <v>0</v>
      </c>
      <c r="D5">
        <f>VLOOKUP(模拟环境!D3,技能库,3,FALSE)</f>
        <v>0</v>
      </c>
      <c r="E5">
        <f>VLOOKUP(模拟环境!E3,技能库,3,FALSE)</f>
        <v>0</v>
      </c>
      <c r="F5">
        <f>VLOOKUP(模拟环境!F3,技能库,3,FALSE)</f>
        <v>0</v>
      </c>
      <c r="G5">
        <f>VLOOKUP(模拟环境!G3,技能库,3,FALSE)</f>
        <v>1</v>
      </c>
      <c r="H5">
        <f>VLOOKUP(模拟环境!H3,技能库,3,FALSE)</f>
        <v>12</v>
      </c>
      <c r="I5">
        <f>VLOOKUP(模拟环境!I3,技能库,3,FALSE)</f>
        <v>0</v>
      </c>
      <c r="J5">
        <f>VLOOKUP(模拟环境!J3,技能库,3,FALSE)</f>
        <v>0</v>
      </c>
      <c r="K5">
        <f>VLOOKUP(模拟环境!K3,技能库,3,FALSE)</f>
        <v>0</v>
      </c>
      <c r="L5">
        <f>VLOOKUP(模拟环境!L3,技能库,3,FALSE)</f>
        <v>0</v>
      </c>
      <c r="M5">
        <f>VLOOKUP(模拟环境!M3,技能库,3,FALSE)</f>
        <v>0</v>
      </c>
      <c r="N5">
        <f>VLOOKUP(模拟环境!N3,技能库,3,FALSE)</f>
        <v>0</v>
      </c>
      <c r="O5">
        <f>VLOOKUP(模拟环境!O3,技能库,3,FALSE)</f>
        <v>0</v>
      </c>
      <c r="P5">
        <f>VLOOKUP(模拟环境!P3,技能库,3,FALSE)</f>
        <v>0</v>
      </c>
    </row>
    <row r="6" spans="2:16" x14ac:dyDescent="0.25">
      <c r="B6">
        <f>VLOOKUP(模拟环境!B3,技能库,4,FALSE)</f>
        <v>0</v>
      </c>
      <c r="C6">
        <f>VLOOKUP(模拟环境!C3,技能库,4,FALSE)</f>
        <v>0</v>
      </c>
      <c r="D6">
        <f>VLOOKUP(模拟环境!D3,技能库,4,FALSE)</f>
        <v>0</v>
      </c>
      <c r="E6">
        <f>VLOOKUP(模拟环境!E3,技能库,4,FALSE)</f>
        <v>0</v>
      </c>
      <c r="F6">
        <f>VLOOKUP(模拟环境!F3,技能库,4,FALSE)</f>
        <v>0</v>
      </c>
      <c r="G6">
        <f>VLOOKUP(模拟环境!G3,技能库,4,FALSE)</f>
        <v>100</v>
      </c>
      <c r="H6">
        <f>VLOOKUP(模拟环境!H3,技能库,4,FALSE)</f>
        <v>35</v>
      </c>
      <c r="I6">
        <f>VLOOKUP(模拟环境!I3,技能库,4,FALSE)</f>
        <v>0</v>
      </c>
      <c r="J6">
        <f>VLOOKUP(模拟环境!J3,技能库,4,FALSE)</f>
        <v>0</v>
      </c>
      <c r="K6">
        <f>VLOOKUP(模拟环境!K3,技能库,4,FALSE)</f>
        <v>0</v>
      </c>
      <c r="L6">
        <f>VLOOKUP(模拟环境!L3,技能库,4,FALSE)</f>
        <v>0</v>
      </c>
      <c r="M6">
        <f>VLOOKUP(模拟环境!M3,技能库,4,FALSE)</f>
        <v>0</v>
      </c>
      <c r="N6">
        <f>VLOOKUP(模拟环境!N3,技能库,4,FALSE)</f>
        <v>0</v>
      </c>
      <c r="O6">
        <f>VLOOKUP(模拟环境!O3,技能库,4,FALSE)</f>
        <v>0</v>
      </c>
      <c r="P6">
        <f>VLOOKUP(模拟环境!P3,技能库,4,FALSE)</f>
        <v>0</v>
      </c>
    </row>
    <row r="7" spans="2:16" x14ac:dyDescent="0.25">
      <c r="B7">
        <f>VLOOKUP(模拟环境!B3,技能库,5,FALSE)</f>
        <v>0</v>
      </c>
      <c r="C7">
        <f>VLOOKUP(模拟环境!C3,技能库,5,FALSE)</f>
        <v>0</v>
      </c>
      <c r="D7">
        <f>VLOOKUP(模拟环境!D3,技能库,5,FALSE)</f>
        <v>0</v>
      </c>
      <c r="E7">
        <f>VLOOKUP(模拟环境!E3,技能库,5,FALSE)</f>
        <v>0</v>
      </c>
      <c r="F7">
        <f>VLOOKUP(模拟环境!F3,技能库,5,FALSE)</f>
        <v>0</v>
      </c>
      <c r="G7">
        <f>VLOOKUP(模拟环境!G3,技能库,5,FALSE)</f>
        <v>30</v>
      </c>
      <c r="H7">
        <f>VLOOKUP(模拟环境!H3,技能库,5,FALSE)</f>
        <v>60</v>
      </c>
      <c r="I7">
        <f>VLOOKUP(模拟环境!I3,技能库,5,FALSE)</f>
        <v>0</v>
      </c>
      <c r="J7">
        <f>VLOOKUP(模拟环境!J3,技能库,5,FALSE)</f>
        <v>0</v>
      </c>
      <c r="K7">
        <f>VLOOKUP(模拟环境!K3,技能库,5,FALSE)</f>
        <v>0</v>
      </c>
      <c r="L7">
        <f>VLOOKUP(模拟环境!L3,技能库,5,FALSE)</f>
        <v>0</v>
      </c>
      <c r="M7">
        <f>VLOOKUP(模拟环境!M3,技能库,5,FALSE)</f>
        <v>0</v>
      </c>
      <c r="N7">
        <f>VLOOKUP(模拟环境!N3,技能库,5,FALSE)</f>
        <v>0</v>
      </c>
      <c r="O7">
        <f>VLOOKUP(模拟环境!O3,技能库,5,FALSE)</f>
        <v>0</v>
      </c>
      <c r="P7">
        <f>VLOOKUP(模拟环境!P3,技能库,5,FALSE)</f>
        <v>0</v>
      </c>
    </row>
    <row r="8" spans="2:16" x14ac:dyDescent="0.25">
      <c r="B8">
        <f>VLOOKUP(模拟环境!B6,技能库,3,FALSE)</f>
        <v>22</v>
      </c>
      <c r="C8">
        <f>VLOOKUP(模拟环境!C6,技能库,3,FALSE)</f>
        <v>12</v>
      </c>
      <c r="D8">
        <f>VLOOKUP(模拟环境!D6,技能库,3,FALSE)</f>
        <v>0</v>
      </c>
      <c r="E8">
        <f>VLOOKUP(模拟环境!E6,技能库,3,FALSE)</f>
        <v>0</v>
      </c>
      <c r="F8">
        <f>VLOOKUP(模拟环境!F6,技能库,3,FALSE)</f>
        <v>0</v>
      </c>
      <c r="G8">
        <f>VLOOKUP(模拟环境!G6,技能库,3,FALSE)</f>
        <v>0</v>
      </c>
      <c r="H8">
        <f>VLOOKUP(模拟环境!H6,技能库,3,FALSE)</f>
        <v>0</v>
      </c>
      <c r="I8">
        <f>VLOOKUP(模拟环境!I6,技能库,3,FALSE)</f>
        <v>0</v>
      </c>
      <c r="J8">
        <f>VLOOKUP(模拟环境!J6,技能库,3,FALSE)</f>
        <v>0</v>
      </c>
      <c r="K8">
        <f>VLOOKUP(模拟环境!K6,技能库,3,FALSE)</f>
        <v>0</v>
      </c>
      <c r="L8">
        <f>VLOOKUP(模拟环境!L6,技能库,3,FALSE)</f>
        <v>0</v>
      </c>
      <c r="M8">
        <f>VLOOKUP(模拟环境!M6,技能库,3,FALSE)</f>
        <v>0</v>
      </c>
      <c r="N8">
        <f>VLOOKUP(模拟环境!N6,技能库,3,FALSE)</f>
        <v>0</v>
      </c>
      <c r="O8">
        <f>VLOOKUP(模拟环境!O6,技能库,3,FALSE)</f>
        <v>0</v>
      </c>
      <c r="P8">
        <f>VLOOKUP(模拟环境!P6,技能库,3,FALSE)</f>
        <v>0</v>
      </c>
    </row>
    <row r="9" spans="2:16" x14ac:dyDescent="0.25">
      <c r="B9">
        <f>VLOOKUP(模拟环境!B6,技能库,4,FALSE)</f>
        <v>50</v>
      </c>
      <c r="C9">
        <f>VLOOKUP(模拟环境!C6,技能库,4,FALSE)</f>
        <v>60</v>
      </c>
      <c r="D9">
        <f>VLOOKUP(模拟环境!D6,技能库,4,FALSE)</f>
        <v>0</v>
      </c>
      <c r="E9">
        <f>VLOOKUP(模拟环境!E6,技能库,4,FALSE)</f>
        <v>0</v>
      </c>
      <c r="F9">
        <f>VLOOKUP(模拟环境!F6,技能库,4,FALSE)</f>
        <v>0</v>
      </c>
      <c r="G9">
        <f>VLOOKUP(模拟环境!G6,技能库,4,FALSE)</f>
        <v>0</v>
      </c>
      <c r="H9">
        <f>VLOOKUP(模拟环境!H6,技能库,4,FALSE)</f>
        <v>0</v>
      </c>
      <c r="I9">
        <f>VLOOKUP(模拟环境!I6,技能库,4,FALSE)</f>
        <v>0</v>
      </c>
      <c r="J9">
        <f>VLOOKUP(模拟环境!J6,技能库,4,FALSE)</f>
        <v>0</v>
      </c>
      <c r="K9">
        <f>VLOOKUP(模拟环境!K6,技能库,4,FALSE)</f>
        <v>0</v>
      </c>
      <c r="L9">
        <f>VLOOKUP(模拟环境!L6,技能库,4,FALSE)</f>
        <v>0</v>
      </c>
      <c r="M9">
        <f>VLOOKUP(模拟环境!M6,技能库,4,FALSE)</f>
        <v>0</v>
      </c>
      <c r="N9">
        <f>VLOOKUP(模拟环境!N6,技能库,4,FALSE)</f>
        <v>0</v>
      </c>
      <c r="O9">
        <f>VLOOKUP(模拟环境!O6,技能库,4,FALSE)</f>
        <v>0</v>
      </c>
      <c r="P9">
        <f>VLOOKUP(模拟环境!P6,技能库,4,FALSE)</f>
        <v>0</v>
      </c>
    </row>
    <row r="10" spans="2:16" x14ac:dyDescent="0.25">
      <c r="B10">
        <f>VLOOKUP(模拟环境!B6,技能库,5,FALSE)</f>
        <v>-10</v>
      </c>
      <c r="C10">
        <f>VLOOKUP(模拟环境!C6,技能库,5,FALSE)</f>
        <v>35</v>
      </c>
      <c r="D10">
        <f>VLOOKUP(模拟环境!D6,技能库,5,FALSE)</f>
        <v>0</v>
      </c>
      <c r="E10">
        <f>VLOOKUP(模拟环境!E6,技能库,5,FALSE)</f>
        <v>0</v>
      </c>
      <c r="F10">
        <f>VLOOKUP(模拟环境!F6,技能库,5,FALSE)</f>
        <v>0</v>
      </c>
      <c r="G10">
        <f>VLOOKUP(模拟环境!G6,技能库,5,FALSE)</f>
        <v>0</v>
      </c>
      <c r="H10">
        <f>VLOOKUP(模拟环境!H6,技能库,5,FALSE)</f>
        <v>0</v>
      </c>
      <c r="I10">
        <f>VLOOKUP(模拟环境!I6,技能库,5,FALSE)</f>
        <v>0</v>
      </c>
      <c r="J10">
        <f>VLOOKUP(模拟环境!J6,技能库,5,FALSE)</f>
        <v>0</v>
      </c>
      <c r="K10">
        <f>VLOOKUP(模拟环境!K6,技能库,5,FALSE)</f>
        <v>0</v>
      </c>
      <c r="L10">
        <f>VLOOKUP(模拟环境!L6,技能库,5,FALSE)</f>
        <v>0</v>
      </c>
      <c r="M10">
        <f>VLOOKUP(模拟环境!M6,技能库,5,FALSE)</f>
        <v>0</v>
      </c>
      <c r="N10">
        <f>VLOOKUP(模拟环境!N6,技能库,5,FALSE)</f>
        <v>0</v>
      </c>
      <c r="O10">
        <f>VLOOKUP(模拟环境!O6,技能库,5,FALSE)</f>
        <v>0</v>
      </c>
      <c r="P10">
        <f>VLOOKUP(模拟环境!P6,技能库,5,FALSE)</f>
        <v>0</v>
      </c>
    </row>
    <row r="11" spans="2:16" x14ac:dyDescent="0.25">
      <c r="B11">
        <f>VLOOKUP(模拟环境!B7,技能库,3,FALSE)</f>
        <v>22</v>
      </c>
      <c r="C11">
        <f>VLOOKUP(模拟环境!C7,技能库,3,FALSE)</f>
        <v>11</v>
      </c>
      <c r="D11">
        <f>VLOOKUP(模拟环境!D7,技能库,3,FALSE)</f>
        <v>5</v>
      </c>
      <c r="E11">
        <f>VLOOKUP(模拟环境!E7,技能库,3,FALSE)</f>
        <v>0</v>
      </c>
      <c r="F11">
        <f>VLOOKUP(模拟环境!F7,技能库,3,FALSE)</f>
        <v>2</v>
      </c>
      <c r="G11">
        <f>VLOOKUP(模拟环境!G7,技能库,3,FALSE)</f>
        <v>1</v>
      </c>
      <c r="H11">
        <f>VLOOKUP(模拟环境!H7,技能库,3,FALSE)</f>
        <v>0</v>
      </c>
      <c r="I11">
        <f>VLOOKUP(模拟环境!I7,技能库,3,FALSE)</f>
        <v>0</v>
      </c>
      <c r="J11">
        <f>VLOOKUP(模拟环境!J7,技能库,3,FALSE)</f>
        <v>0</v>
      </c>
      <c r="K11">
        <f>VLOOKUP(模拟环境!K7,技能库,3,FALSE)</f>
        <v>0</v>
      </c>
      <c r="L11">
        <f>VLOOKUP(模拟环境!L7,技能库,3,FALSE)</f>
        <v>0</v>
      </c>
      <c r="M11">
        <f>VLOOKUP(模拟环境!M7,技能库,3,FALSE)</f>
        <v>0</v>
      </c>
      <c r="N11">
        <f>VLOOKUP(模拟环境!N7,技能库,3,FALSE)</f>
        <v>0</v>
      </c>
      <c r="O11">
        <f>VLOOKUP(模拟环境!O7,技能库,3,FALSE)</f>
        <v>0</v>
      </c>
      <c r="P11">
        <f>VLOOKUP(模拟环境!P7,技能库,3,FALSE)</f>
        <v>0</v>
      </c>
    </row>
    <row r="12" spans="2:16" x14ac:dyDescent="0.25">
      <c r="B12">
        <f>VLOOKUP(模拟环境!B7,技能库,4,FALSE)</f>
        <v>50</v>
      </c>
      <c r="C12">
        <f>VLOOKUP(模拟环境!C7,技能库,4,FALSE)</f>
        <v>35</v>
      </c>
      <c r="D12">
        <f>VLOOKUP(模拟环境!D7,技能库,4,FALSE)</f>
        <v>100</v>
      </c>
      <c r="E12">
        <f>VLOOKUP(模拟环境!E7,技能库,4,FALSE)</f>
        <v>0</v>
      </c>
      <c r="F12">
        <f>VLOOKUP(模拟环境!F7,技能库,4,FALSE)</f>
        <v>100</v>
      </c>
      <c r="G12">
        <f>VLOOKUP(模拟环境!G7,技能库,4,FALSE)</f>
        <v>100</v>
      </c>
      <c r="H12">
        <f>VLOOKUP(模拟环境!H7,技能库,4,FALSE)</f>
        <v>0</v>
      </c>
      <c r="I12">
        <f>VLOOKUP(模拟环境!I7,技能库,4,FALSE)</f>
        <v>0</v>
      </c>
      <c r="J12">
        <f>VLOOKUP(模拟环境!J7,技能库,4,FALSE)</f>
        <v>0</v>
      </c>
      <c r="K12">
        <f>VLOOKUP(模拟环境!K7,技能库,4,FALSE)</f>
        <v>0</v>
      </c>
      <c r="L12">
        <f>VLOOKUP(模拟环境!L7,技能库,4,FALSE)</f>
        <v>0</v>
      </c>
      <c r="M12">
        <f>VLOOKUP(模拟环境!M7,技能库,4,FALSE)</f>
        <v>0</v>
      </c>
      <c r="N12">
        <f>VLOOKUP(模拟环境!N7,技能库,4,FALSE)</f>
        <v>0</v>
      </c>
      <c r="O12">
        <f>VLOOKUP(模拟环境!O7,技能库,4,FALSE)</f>
        <v>0</v>
      </c>
      <c r="P12">
        <f>VLOOKUP(模拟环境!P7,技能库,4,FALSE)</f>
        <v>0</v>
      </c>
    </row>
    <row r="13" spans="2:16" x14ac:dyDescent="0.25">
      <c r="B13">
        <f>VLOOKUP(模拟环境!B7,技能库,5,FALSE)</f>
        <v>-10</v>
      </c>
      <c r="C13">
        <f>VLOOKUP(模拟环境!C7,技能库,5,FALSE)</f>
        <v>60</v>
      </c>
      <c r="D13">
        <f>VLOOKUP(模拟环境!D7,技能库,5,FALSE)</f>
        <v>10</v>
      </c>
      <c r="E13">
        <f>VLOOKUP(模拟环境!E7,技能库,5,FALSE)</f>
        <v>0</v>
      </c>
      <c r="F13">
        <f>VLOOKUP(模拟环境!F7,技能库,5,FALSE)</f>
        <v>15</v>
      </c>
      <c r="G13">
        <f>VLOOKUP(模拟环境!G7,技能库,5,FALSE)</f>
        <v>30</v>
      </c>
      <c r="H13">
        <f>VLOOKUP(模拟环境!H7,技能库,5,FALSE)</f>
        <v>0</v>
      </c>
      <c r="I13">
        <f>VLOOKUP(模拟环境!I7,技能库,5,FALSE)</f>
        <v>0</v>
      </c>
      <c r="J13">
        <f>VLOOKUP(模拟环境!J7,技能库,5,FALSE)</f>
        <v>0</v>
      </c>
      <c r="K13">
        <f>VLOOKUP(模拟环境!K7,技能库,5,FALSE)</f>
        <v>0</v>
      </c>
      <c r="L13">
        <f>VLOOKUP(模拟环境!L7,技能库,5,FALSE)</f>
        <v>0</v>
      </c>
      <c r="M13">
        <f>VLOOKUP(模拟环境!M7,技能库,5,FALSE)</f>
        <v>0</v>
      </c>
      <c r="N13">
        <f>VLOOKUP(模拟环境!N7,技能库,5,FALSE)</f>
        <v>0</v>
      </c>
      <c r="O13">
        <f>VLOOKUP(模拟环境!O7,技能库,5,FALSE)</f>
        <v>0</v>
      </c>
      <c r="P13">
        <f>VLOOKUP(模拟环境!P7,技能库,5,FALSE)</f>
        <v>0</v>
      </c>
    </row>
    <row r="14" spans="2:16" x14ac:dyDescent="0.25">
      <c r="B14" s="13" t="s">
        <v>38</v>
      </c>
      <c r="C14" s="13"/>
      <c r="D14" s="13"/>
      <c r="E14" s="13"/>
    </row>
    <row r="15" spans="2:16" x14ac:dyDescent="0.25">
      <c r="B15">
        <f>模拟环境!B13</f>
        <v>4100</v>
      </c>
      <c r="C15">
        <f>模拟环境!C13</f>
        <v>6000</v>
      </c>
      <c r="D15">
        <f>模拟环境!D13</f>
        <v>7000</v>
      </c>
      <c r="E15">
        <f>模拟环境!E13</f>
        <v>220</v>
      </c>
    </row>
    <row r="16" spans="2:16" x14ac:dyDescent="0.25">
      <c r="B16">
        <f>模拟环境!B14</f>
        <v>4000</v>
      </c>
      <c r="C16">
        <f>模拟环境!C14</f>
        <v>6500</v>
      </c>
      <c r="D16">
        <f>模拟环境!D14</f>
        <v>6500</v>
      </c>
      <c r="E16">
        <f>模拟环境!E14</f>
        <v>220</v>
      </c>
    </row>
    <row r="17" spans="2:10" x14ac:dyDescent="0.25">
      <c r="B17">
        <f>模拟环境!B16</f>
        <v>6000</v>
      </c>
      <c r="C17">
        <f>模拟环境!C16</f>
        <v>4000</v>
      </c>
      <c r="D17">
        <f>模拟环境!D16</f>
        <v>7000</v>
      </c>
      <c r="E17">
        <f>模拟环境!E16</f>
        <v>180</v>
      </c>
    </row>
    <row r="18" spans="2:10" x14ac:dyDescent="0.25">
      <c r="B18">
        <f>模拟环境!B17</f>
        <v>6000</v>
      </c>
      <c r="C18">
        <f>模拟环境!C17</f>
        <v>4000</v>
      </c>
      <c r="D18">
        <f>模拟环境!D17</f>
        <v>7000</v>
      </c>
      <c r="E18">
        <f>模拟环境!E17</f>
        <v>200</v>
      </c>
    </row>
    <row r="19" spans="2:10" x14ac:dyDescent="0.25">
      <c r="B19" s="13" t="s">
        <v>39</v>
      </c>
      <c r="C19" s="13"/>
      <c r="E19" s="2" t="s">
        <v>53</v>
      </c>
    </row>
    <row r="20" spans="2:10" x14ac:dyDescent="0.25">
      <c r="B20">
        <f>IF(模拟环境!G13 = "杀球", 1, IF( 模拟环境!G13 = "佯攻", 2, 0))</f>
        <v>2</v>
      </c>
      <c r="C20">
        <f>IF(模拟环境!H13 = "杀球", 1, IF( 模拟环境!H13 = "佯攻", 2, 0))</f>
        <v>0</v>
      </c>
      <c r="E20">
        <f>模拟环境!J13</f>
        <v>3</v>
      </c>
    </row>
    <row r="21" spans="2:10" x14ac:dyDescent="0.25">
      <c r="B21">
        <f>IF(模拟环境!G15="",0,IF(模拟环境!G15=模拟环境!A2,1,2))</f>
        <v>1</v>
      </c>
      <c r="C21">
        <f>IF(模拟环境!H15="",0,IF(模拟环境!H15=模拟环境!B2,3,4))</f>
        <v>4</v>
      </c>
      <c r="E21" s="2" t="s">
        <v>122</v>
      </c>
    </row>
    <row r="22" spans="2:10" x14ac:dyDescent="0.25">
      <c r="B22">
        <f>IF(模拟环境!G17 = "", 0, IF(模拟环境!G17 = 模拟环境!A6, 3,4))</f>
        <v>3</v>
      </c>
      <c r="C22">
        <f>IF(模拟环境!H17 = "", 0, IF(模拟环境!H17 = 模拟环境!B6, 1,2))</f>
        <v>2</v>
      </c>
      <c r="E22">
        <f>模拟环境!J15</f>
        <v>3</v>
      </c>
    </row>
    <row r="23" spans="2:10" x14ac:dyDescent="0.25">
      <c r="B23">
        <f>IF(模拟环境!G19 = "No", 0, 1)</f>
        <v>0</v>
      </c>
      <c r="C23">
        <f>IF(模拟环境!H19 = "No", 0, 1)</f>
        <v>0</v>
      </c>
    </row>
    <row r="24" spans="2:10" x14ac:dyDescent="0.25">
      <c r="B24" s="13" t="s">
        <v>52</v>
      </c>
      <c r="C24" s="13"/>
      <c r="D24" s="13"/>
      <c r="E24" s="13"/>
      <c r="F24" s="13"/>
      <c r="G24" s="13"/>
      <c r="H24" s="13"/>
      <c r="I24" s="13"/>
      <c r="J24" s="13"/>
    </row>
    <row r="25" spans="2:10" x14ac:dyDescent="0.25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</row>
    <row r="26" spans="2:10" x14ac:dyDescent="0.25">
      <c r="B26">
        <v>1</v>
      </c>
      <c r="C26">
        <v>2</v>
      </c>
      <c r="D26">
        <v>3</v>
      </c>
      <c r="E26">
        <v>4</v>
      </c>
      <c r="F26">
        <v>5</v>
      </c>
      <c r="G26">
        <v>6</v>
      </c>
      <c r="H26">
        <v>7</v>
      </c>
      <c r="I26">
        <v>8</v>
      </c>
      <c r="J26">
        <v>9</v>
      </c>
    </row>
    <row r="27" spans="2:10" x14ac:dyDescent="0.25">
      <c r="B27">
        <v>1</v>
      </c>
      <c r="C27">
        <v>2</v>
      </c>
      <c r="D27">
        <v>3</v>
      </c>
      <c r="E27">
        <v>4</v>
      </c>
      <c r="F27">
        <v>5</v>
      </c>
      <c r="G27">
        <v>6</v>
      </c>
      <c r="H27">
        <v>7</v>
      </c>
      <c r="I27">
        <v>8</v>
      </c>
      <c r="J27">
        <v>9</v>
      </c>
    </row>
  </sheetData>
  <mergeCells count="4">
    <mergeCell ref="B1:P1"/>
    <mergeCell ref="B14:E14"/>
    <mergeCell ref="B24:J24"/>
    <mergeCell ref="B19:C1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6F09F8-50F4-4740-AB4D-409AE1A79F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12</vt:i4>
      </vt:variant>
    </vt:vector>
  </HeadingPairs>
  <TitlesOfParts>
    <vt:vector size="17" baseType="lpstr">
      <vt:lpstr>统计页</vt:lpstr>
      <vt:lpstr>技能数据</vt:lpstr>
      <vt:lpstr>模拟环境</vt:lpstr>
      <vt:lpstr>模拟结果</vt:lpstr>
      <vt:lpstr>后台</vt:lpstr>
      <vt:lpstr>APF技能</vt:lpstr>
      <vt:lpstr>pp潜力</vt:lpstr>
      <vt:lpstr>测试次数</vt:lpstr>
      <vt:lpstr>岛主指令</vt:lpstr>
      <vt:lpstr>对方指令</vt:lpstr>
      <vt:lpstr>技能库</vt:lpstr>
      <vt:lpstr>技能数据</vt:lpstr>
      <vt:lpstr>女孩名字</vt:lpstr>
      <vt:lpstr>女孩属性</vt:lpstr>
      <vt:lpstr>赛制</vt:lpstr>
      <vt:lpstr>随机数据池</vt:lpstr>
      <vt:lpstr>统计区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王小虎</dc:creator>
  <cp:lastModifiedBy>王小虎</cp:lastModifiedBy>
  <dcterms:created xsi:type="dcterms:W3CDTF">2020-07-20T09:02:21Z</dcterms:created>
  <dcterms:modified xsi:type="dcterms:W3CDTF">2020-08-09T11:19:53Z</dcterms:modified>
</cp:coreProperties>
</file>